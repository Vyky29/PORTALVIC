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RENTS" sheetId="1" r:id="rId5"/>
  </sheets>
  <definedNames>
    <definedName hidden="1" localSheetId="0" name="_xlnm._FilterDatabase">PARENTS!$A$1:$N$66</definedName>
  </definedNames>
  <calcPr/>
</workbook>
</file>

<file path=xl/sharedStrings.xml><?xml version="1.0" encoding="utf-8"?>
<sst xmlns="http://schemas.openxmlformats.org/spreadsheetml/2006/main" count="422" uniqueCount="232">
  <si>
    <t>Client Name</t>
  </si>
  <si>
    <t>Parent</t>
  </si>
  <si>
    <t>Payment Method</t>
  </si>
  <si>
    <t>Service 1</t>
  </si>
  <si>
    <t>Service 2</t>
  </si>
  <si>
    <t>Service 3</t>
  </si>
  <si>
    <t>Service 4</t>
  </si>
  <si>
    <t>Total</t>
  </si>
  <si>
    <t>VAT</t>
  </si>
  <si>
    <t>INVOICES</t>
  </si>
  <si>
    <t>Mar/Apr</t>
  </si>
  <si>
    <t>May</t>
  </si>
  <si>
    <t>June</t>
  </si>
  <si>
    <t>July</t>
  </si>
  <si>
    <t>Eddie</t>
  </si>
  <si>
    <t xml:space="preserve">Marta </t>
  </si>
  <si>
    <t>1 - Bank Transfer</t>
  </si>
  <si>
    <t>30' AQUATIC ACTIVITY (Monday)</t>
  </si>
  <si>
    <t>PF / VAT 20%</t>
  </si>
  <si>
    <t>inv 285</t>
  </si>
  <si>
    <t>Gemma</t>
  </si>
  <si>
    <t>Maria</t>
  </si>
  <si>
    <t>inv 254</t>
  </si>
  <si>
    <t>Yunis</t>
  </si>
  <si>
    <t>Namja</t>
  </si>
  <si>
    <t>2 - Bank Transfer</t>
  </si>
  <si>
    <t>Inv 315</t>
  </si>
  <si>
    <t>Kirushy</t>
  </si>
  <si>
    <t>Saratha</t>
  </si>
  <si>
    <t>4 - Go Cardless</t>
  </si>
  <si>
    <t>Inv 308</t>
  </si>
  <si>
    <t>Zayana</t>
  </si>
  <si>
    <t>Mansura</t>
  </si>
  <si>
    <t>inv 283</t>
  </si>
  <si>
    <t>Haider</t>
  </si>
  <si>
    <t>Siama</t>
  </si>
  <si>
    <t>30' AQUATIC ACTIVITY (Saturday)</t>
  </si>
  <si>
    <t>Inv 313</t>
  </si>
  <si>
    <t>Shire</t>
  </si>
  <si>
    <t>Hanan</t>
  </si>
  <si>
    <t>30' AQUATIC ACTIVITY (Sunday)</t>
  </si>
  <si>
    <t>Inv 305</t>
  </si>
  <si>
    <t>Yusef Ahmed</t>
  </si>
  <si>
    <t>Fatima</t>
  </si>
  <si>
    <t>90’ MULTI-ACTIVIY (Sunday)</t>
  </si>
  <si>
    <t>60’ CLIMBING ACTIVITY (Sunday)</t>
  </si>
  <si>
    <t>EXCEMP</t>
  </si>
  <si>
    <t>inv 0048</t>
  </si>
  <si>
    <t>Zakariya</t>
  </si>
  <si>
    <t>Catarina</t>
  </si>
  <si>
    <t>Inv 307</t>
  </si>
  <si>
    <t>1320*</t>
  </si>
  <si>
    <t>Yoan</t>
  </si>
  <si>
    <t>Hanna</t>
  </si>
  <si>
    <t>Inv 312</t>
  </si>
  <si>
    <t>Khalid</t>
  </si>
  <si>
    <t xml:space="preserve">Fowzia </t>
  </si>
  <si>
    <t>30' AQUATIC ACTIVITY (Thursday)</t>
  </si>
  <si>
    <t>inv 288</t>
  </si>
  <si>
    <t xml:space="preserve">Yuri </t>
  </si>
  <si>
    <t xml:space="preserve">Nazare </t>
  </si>
  <si>
    <t>inv 286</t>
  </si>
  <si>
    <t>Amir</t>
  </si>
  <si>
    <t>Saliha</t>
  </si>
  <si>
    <t>30' AQUATIC ACTIVITY (Tuesday)</t>
  </si>
  <si>
    <t>Inv 321</t>
  </si>
  <si>
    <t>116+209</t>
  </si>
  <si>
    <t>Ayman</t>
  </si>
  <si>
    <t>Zeyna</t>
  </si>
  <si>
    <t>Inv 318</t>
  </si>
  <si>
    <t>Cayra</t>
  </si>
  <si>
    <t>Romina</t>
  </si>
  <si>
    <t>inv 277</t>
  </si>
  <si>
    <t>Linda</t>
  </si>
  <si>
    <t>Catherine</t>
  </si>
  <si>
    <t>inv 259</t>
  </si>
  <si>
    <t>Thushyan</t>
  </si>
  <si>
    <t>Nishani</t>
  </si>
  <si>
    <t>30' AQUATIC ACTIVITY (Wednesday)</t>
  </si>
  <si>
    <t>inv 301</t>
  </si>
  <si>
    <t>Jibril</t>
  </si>
  <si>
    <t>Hali</t>
  </si>
  <si>
    <t>30' SW (Mon)</t>
  </si>
  <si>
    <t>Ruben</t>
  </si>
  <si>
    <t>Jasmine</t>
  </si>
  <si>
    <t>Own Way (behind)</t>
  </si>
  <si>
    <t>inv 294</t>
  </si>
  <si>
    <t>Vithura</t>
  </si>
  <si>
    <t>Yaliny</t>
  </si>
  <si>
    <t>Joel</t>
  </si>
  <si>
    <t>Anthony</t>
  </si>
  <si>
    <t>inv 302</t>
  </si>
  <si>
    <t>Mario</t>
  </si>
  <si>
    <t>Alexandra</t>
  </si>
  <si>
    <t>inv 289</t>
  </si>
  <si>
    <t>Emani</t>
  </si>
  <si>
    <t>Sam Sam</t>
  </si>
  <si>
    <t>inv 292</t>
  </si>
  <si>
    <t>Max</t>
  </si>
  <si>
    <t>Nana</t>
  </si>
  <si>
    <t>inv 256</t>
  </si>
  <si>
    <t>Shaan</t>
  </si>
  <si>
    <t>Meena</t>
  </si>
  <si>
    <t>inv 261</t>
  </si>
  <si>
    <t>Kareena</t>
  </si>
  <si>
    <t>Chopi</t>
  </si>
  <si>
    <t>inv 309</t>
  </si>
  <si>
    <t>Tom</t>
  </si>
  <si>
    <t>Kirstin</t>
  </si>
  <si>
    <t>inv 303</t>
  </si>
  <si>
    <t>Yossi</t>
  </si>
  <si>
    <t>Tirhas</t>
  </si>
  <si>
    <t>inv 282</t>
  </si>
  <si>
    <t>Maiyar</t>
  </si>
  <si>
    <t>Nizar</t>
  </si>
  <si>
    <t>Inv 316</t>
  </si>
  <si>
    <t>Karo</t>
  </si>
  <si>
    <t>inv 310</t>
  </si>
  <si>
    <t>Adam M</t>
  </si>
  <si>
    <t>Maysoun</t>
  </si>
  <si>
    <t>inv 274</t>
  </si>
  <si>
    <t>Lais</t>
  </si>
  <si>
    <t>-</t>
  </si>
  <si>
    <t>Bediako</t>
  </si>
  <si>
    <t>inv 278</t>
  </si>
  <si>
    <t>Junaid</t>
  </si>
  <si>
    <t>Fadwa</t>
  </si>
  <si>
    <t>Inv 280</t>
  </si>
  <si>
    <t>Rayan T</t>
  </si>
  <si>
    <t>Rakesh</t>
  </si>
  <si>
    <t>inv 257</t>
  </si>
  <si>
    <t>Richard</t>
  </si>
  <si>
    <t>Leticia</t>
  </si>
  <si>
    <t>inv 281</t>
  </si>
  <si>
    <t>Tyson</t>
  </si>
  <si>
    <t>Margaretta</t>
  </si>
  <si>
    <t>30' AQUATIC ACTIVITY (Wed)</t>
  </si>
  <si>
    <t>inv 295</t>
  </si>
  <si>
    <t>Amber</t>
  </si>
  <si>
    <t>Nicole</t>
  </si>
  <si>
    <t>inv 291</t>
  </si>
  <si>
    <t>Kayden</t>
  </si>
  <si>
    <t>Selina</t>
  </si>
  <si>
    <t>inv 287</t>
  </si>
  <si>
    <t>Yaqoub</t>
  </si>
  <si>
    <t>Obah</t>
  </si>
  <si>
    <t>Inv 330</t>
  </si>
  <si>
    <t>Mia</t>
  </si>
  <si>
    <t>Kelydon</t>
  </si>
  <si>
    <t>60' AQUATIC ACTIVITY (Wednesday)</t>
  </si>
  <si>
    <t>Inv 317</t>
  </si>
  <si>
    <t>650 - 100</t>
  </si>
  <si>
    <t>Scott</t>
  </si>
  <si>
    <t>Alvar de Wolff</t>
  </si>
  <si>
    <t>90’ MULTI-ACTIVITY (Wednesday)</t>
  </si>
  <si>
    <t>inv 260</t>
  </si>
  <si>
    <t>Rodin</t>
  </si>
  <si>
    <t xml:space="preserve">Sima Amiri </t>
  </si>
  <si>
    <t>inv 290</t>
  </si>
  <si>
    <t>Eiji</t>
  </si>
  <si>
    <t>Lea</t>
  </si>
  <si>
    <t>Own Way (upfront)</t>
  </si>
  <si>
    <t>60’ AQUATIC ACTIVITY (Tuesday)</t>
  </si>
  <si>
    <t>90’ MULTI-ACTIVITY (Sunday)</t>
  </si>
  <si>
    <t>60’ AQUATIC ACTIVITY (Thursday)</t>
  </si>
  <si>
    <t>inv 0067</t>
  </si>
  <si>
    <t>Hazem</t>
  </si>
  <si>
    <t>inv 0068</t>
  </si>
  <si>
    <t>Serine</t>
  </si>
  <si>
    <t>Bouchara</t>
  </si>
  <si>
    <t>60' PHYSICAL ACTIVITY (Monday)</t>
  </si>
  <si>
    <t>60' AQUATIC ACTIVITY (Tuesday)</t>
  </si>
  <si>
    <t>inv 0229</t>
  </si>
  <si>
    <t>Ayaan</t>
  </si>
  <si>
    <t xml:space="preserve">Nadia </t>
  </si>
  <si>
    <t>Inv 320</t>
  </si>
  <si>
    <t>Aqsa</t>
  </si>
  <si>
    <t>Farida</t>
  </si>
  <si>
    <t>inv 252</t>
  </si>
  <si>
    <t>Mohammed</t>
  </si>
  <si>
    <t>Anab</t>
  </si>
  <si>
    <t>Rayyan F</t>
  </si>
  <si>
    <t>Huma</t>
  </si>
  <si>
    <t>Inv 322</t>
  </si>
  <si>
    <t>640+16.25</t>
  </si>
  <si>
    <t>Cyrus</t>
  </si>
  <si>
    <t>Olivia</t>
  </si>
  <si>
    <t>90' BESPOKE (Thursday)</t>
  </si>
  <si>
    <t>inv 258</t>
  </si>
  <si>
    <t>Arthur Ma</t>
  </si>
  <si>
    <t>Francesa</t>
  </si>
  <si>
    <t>Inv 306</t>
  </si>
  <si>
    <t>Adam A</t>
  </si>
  <si>
    <t>Zainab</t>
  </si>
  <si>
    <t>inv 251</t>
  </si>
  <si>
    <t>Arthur Mo</t>
  </si>
  <si>
    <t>Michael</t>
  </si>
  <si>
    <t>inv 275</t>
  </si>
  <si>
    <t>Erik</t>
  </si>
  <si>
    <t>Agata</t>
  </si>
  <si>
    <t>inv 293</t>
  </si>
  <si>
    <t>Zaid</t>
  </si>
  <si>
    <t>Zaynab</t>
  </si>
  <si>
    <t>inv 284</t>
  </si>
  <si>
    <t>Stephanie</t>
  </si>
  <si>
    <t>Zu Yi</t>
  </si>
  <si>
    <t>90’ MULTI-ACTIVIY (Wednesday)</t>
  </si>
  <si>
    <t>inv 262</t>
  </si>
  <si>
    <t xml:space="preserve">Gabriel </t>
  </si>
  <si>
    <t>Mike / Veronica</t>
  </si>
  <si>
    <t>inv 253</t>
  </si>
  <si>
    <t>Jack S</t>
  </si>
  <si>
    <t>Veronica</t>
  </si>
  <si>
    <t>Inv 311</t>
  </si>
  <si>
    <t>Jack W</t>
  </si>
  <si>
    <t>Francesca</t>
  </si>
  <si>
    <t>inv 255</t>
  </si>
  <si>
    <t>Haneef</t>
  </si>
  <si>
    <t>Aisha</t>
  </si>
  <si>
    <t>OW (behind)</t>
  </si>
  <si>
    <t>inv 328</t>
  </si>
  <si>
    <t>Jack S*</t>
  </si>
  <si>
    <t>60’ AQUATIC ACTIVITY (Monday)</t>
  </si>
  <si>
    <t>Inv 326</t>
  </si>
  <si>
    <t>Kate *</t>
  </si>
  <si>
    <t>Maire</t>
  </si>
  <si>
    <t>Inv 324</t>
  </si>
  <si>
    <t>Kamy *</t>
  </si>
  <si>
    <t>Fay</t>
  </si>
  <si>
    <t>Inv 325</t>
  </si>
  <si>
    <t>Jack W*</t>
  </si>
  <si>
    <t>Inv 323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</si>
</sst>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5">
    <font>
      <sz val="10.0"/>
      <color rgb="FF000000"/>
      <name val="Arial"/>
      <scheme val="minor"/>
    </font>
    <font>
      <sz val="10.0"/>
      <color theme="1"/>
      <name val="Arial"/>
      <scheme val="minor"/>
    </font>
    <font>
      <sz val="8.0"/>
      <color theme="1"/>
      <name val="Arial"/>
      <scheme val="minor"/>
    </font>
    <font>
      <b/>
      <sz val="10.0"/>
      <color theme="1"/>
      <name val="Arial"/>
      <scheme val="minor"/>
    </font>
    <font>
      <b/>
      <sz val="10.0"/>
      <color rgb="FF000000"/>
      <name val="Arial"/>
      <scheme val="minor"/>
    </font>
    <font>
      <b/>
      <sz val="8.0"/>
      <color theme="1"/>
      <name val="Arial"/>
    </font>
    <font>
      <b/>
      <sz val="8.0"/>
      <color rgb="FF000000"/>
      <name val="Arial"/>
      <scheme val="minor"/>
    </font>
    <font>
      <b/>
      <sz val="12.0"/>
      <color rgb="FF000000"/>
      <name val="Arial"/>
      <scheme val="minor"/>
    </font>
    <font>
      <b/>
      <color theme="1"/>
      <name val="Arial"/>
    </font>
    <font>
      <b/>
      <sz val="12.0"/>
      <color theme="1"/>
      <name val="Arial"/>
      <scheme val="minor"/>
    </font>
    <font>
      <b/>
      <sz val="12.0"/>
      <color rgb="FFFF0000"/>
      <name val="Arial"/>
      <scheme val="minor"/>
    </font>
    <font>
      <b/>
      <color rgb="FFFF0000"/>
      <name val="Arial"/>
    </font>
    <font>
      <b/>
      <sz val="10.0"/>
      <color rgb="FFFF0000"/>
      <name val="Arial"/>
      <scheme val="minor"/>
    </font>
    <font>
      <sz val="8.0"/>
      <color theme="1"/>
      <name val="Arial"/>
    </font>
    <font>
      <sz val="8.0"/>
      <color rgb="FF000000"/>
      <name val="Arial"/>
      <scheme val="minor"/>
    </font>
    <font>
      <color theme="1"/>
      <name val="Arial"/>
    </font>
    <font>
      <sz val="10.0"/>
      <color rgb="FFFF0000"/>
      <name val="Arial"/>
      <scheme val="minor"/>
    </font>
    <font>
      <sz val="10.0"/>
      <color rgb="FF000000"/>
      <name val="Arial"/>
    </font>
    <font>
      <b/>
      <sz val="11.0"/>
      <color rgb="FFFF0000"/>
      <name val="Arial"/>
    </font>
    <font>
      <b/>
      <sz val="11.0"/>
      <color rgb="FFFF0000"/>
      <name val="Arial"/>
      <scheme val="minor"/>
    </font>
    <font>
      <b/>
      <sz val="10.0"/>
      <color rgb="FF000000"/>
      <name val="&quot;Google Sans&quot;"/>
    </font>
    <font>
      <b/>
      <sz val="12.0"/>
      <color rgb="FFFF0000"/>
      <name val="Arial"/>
    </font>
    <font>
      <color theme="1"/>
      <name val="Arial"/>
      <scheme val="minor"/>
    </font>
    <font>
      <sz val="9.0"/>
      <color theme="1"/>
      <name val="Arial"/>
      <scheme val="minor"/>
    </font>
    <font>
      <sz val="9.0"/>
      <color rgb="FF000000"/>
      <name val="Arial"/>
      <scheme val="minor"/>
    </font>
  </fonts>
  <fills count="14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A4C2F4"/>
        <bgColor rgb="FFA4C2F4"/>
      </patternFill>
    </fill>
    <fill>
      <patternFill patternType="solid">
        <fgColor rgb="FF00FF00"/>
        <bgColor rgb="FF00FF00"/>
      </patternFill>
    </fill>
    <fill>
      <patternFill patternType="solid">
        <fgColor rgb="FF000000"/>
        <bgColor rgb="FF000000"/>
      </patternFill>
    </fill>
    <fill>
      <patternFill patternType="solid">
        <fgColor rgb="FF8E7CC3"/>
        <bgColor rgb="FF8E7CC3"/>
      </patternFill>
    </fill>
    <fill>
      <patternFill patternType="solid">
        <fgColor rgb="FFFFFF00"/>
        <bgColor rgb="FFFFFF00"/>
      </patternFill>
    </fill>
    <fill>
      <patternFill patternType="solid">
        <fgColor rgb="FFFCE5CD"/>
        <bgColor rgb="FFFCE5CD"/>
      </patternFill>
    </fill>
    <fill>
      <patternFill patternType="solid">
        <fgColor rgb="FFFFE599"/>
        <bgColor rgb="FFFFE599"/>
      </patternFill>
    </fill>
    <fill>
      <patternFill patternType="solid">
        <fgColor rgb="FF93C47D"/>
        <bgColor rgb="FF93C47D"/>
      </patternFill>
    </fill>
    <fill>
      <patternFill patternType="solid">
        <fgColor rgb="FFD5A6BD"/>
        <bgColor rgb="FFD5A6BD"/>
      </patternFill>
    </fill>
    <fill>
      <patternFill patternType="solid">
        <fgColor rgb="FFEAD1DC"/>
        <bgColor rgb="FFEAD1DC"/>
      </patternFill>
    </fill>
    <fill>
      <patternFill patternType="solid">
        <fgColor rgb="FFE06666"/>
        <bgColor rgb="FFE06666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1" fillId="2" fontId="2" numFmtId="0" xfId="0" applyAlignment="1" applyBorder="1" applyFont="1">
      <alignment horizontal="center" readingOrder="0" vertical="center"/>
    </xf>
    <xf borderId="1" fillId="2" fontId="3" numFmtId="0" xfId="0" applyAlignment="1" applyBorder="1" applyFont="1">
      <alignment horizontal="center" readingOrder="0" vertical="center"/>
    </xf>
    <xf borderId="1" fillId="0" fontId="4" numFmtId="0" xfId="0" applyAlignment="1" applyBorder="1" applyFont="1">
      <alignment horizontal="center" readingOrder="0" vertical="center"/>
    </xf>
    <xf borderId="1" fillId="3" fontId="5" numFmtId="0" xfId="0" applyAlignment="1" applyBorder="1" applyFill="1" applyFont="1">
      <alignment horizontal="center"/>
    </xf>
    <xf borderId="1" fillId="0" fontId="6" numFmtId="0" xfId="0" applyAlignment="1" applyBorder="1" applyFont="1">
      <alignment horizontal="center" readingOrder="0" vertical="center"/>
    </xf>
    <xf borderId="1" fillId="4" fontId="4" numFmtId="0" xfId="0" applyAlignment="1" applyBorder="1" applyFill="1" applyFont="1">
      <alignment horizontal="center" readingOrder="0" vertical="center"/>
    </xf>
    <xf borderId="1" fillId="4" fontId="7" numFmtId="0" xfId="0" applyAlignment="1" applyBorder="1" applyFont="1">
      <alignment horizontal="center" readingOrder="0" vertical="center"/>
    </xf>
    <xf borderId="1" fillId="5" fontId="8" numFmtId="0" xfId="0" applyBorder="1" applyFill="1" applyFont="1"/>
    <xf borderId="1" fillId="0" fontId="3" numFmtId="0" xfId="0" applyAlignment="1" applyBorder="1" applyFont="1">
      <alignment horizontal="center" readingOrder="0" vertical="center"/>
    </xf>
    <xf borderId="1" fillId="4" fontId="9" numFmtId="0" xfId="0" applyAlignment="1" applyBorder="1" applyFont="1">
      <alignment horizontal="center" readingOrder="0" vertical="center"/>
    </xf>
    <xf borderId="1" fillId="5" fontId="3" numFmtId="0" xfId="0" applyAlignment="1" applyBorder="1" applyFont="1">
      <alignment horizontal="center" readingOrder="0" vertical="center"/>
    </xf>
    <xf borderId="1" fillId="6" fontId="6" numFmtId="0" xfId="0" applyAlignment="1" applyBorder="1" applyFill="1" applyFont="1">
      <alignment horizontal="center" readingOrder="0" vertical="center"/>
    </xf>
    <xf borderId="1" fillId="7" fontId="4" numFmtId="0" xfId="0" applyAlignment="1" applyBorder="1" applyFill="1" applyFont="1">
      <alignment horizontal="center" readingOrder="0" vertical="center"/>
    </xf>
    <xf borderId="1" fillId="4" fontId="10" numFmtId="0" xfId="0" applyAlignment="1" applyBorder="1" applyFont="1">
      <alignment horizontal="center" readingOrder="0" vertical="center"/>
    </xf>
    <xf borderId="1" fillId="8" fontId="8" numFmtId="0" xfId="0" applyAlignment="1" applyBorder="1" applyFill="1" applyFont="1">
      <alignment horizontal="center"/>
    </xf>
    <xf borderId="1" fillId="5" fontId="3" numFmtId="0" xfId="0" applyAlignment="1" applyBorder="1" applyFont="1">
      <alignment horizontal="center" vertical="center"/>
    </xf>
    <xf borderId="1" fillId="9" fontId="6" numFmtId="0" xfId="0" applyAlignment="1" applyBorder="1" applyFill="1" applyFont="1">
      <alignment horizontal="center" readingOrder="0" vertical="center"/>
    </xf>
    <xf borderId="1" fillId="4" fontId="3" numFmtId="0" xfId="0" applyAlignment="1" applyBorder="1" applyFont="1">
      <alignment horizontal="center" readingOrder="0" vertical="center"/>
    </xf>
    <xf borderId="1" fillId="8" fontId="3" numFmtId="0" xfId="0" applyAlignment="1" applyBorder="1" applyFont="1">
      <alignment horizontal="center" readingOrder="0" vertical="center"/>
    </xf>
    <xf borderId="1" fillId="5" fontId="4" numFmtId="0" xfId="0" applyAlignment="1" applyBorder="1" applyFont="1">
      <alignment horizontal="center" readingOrder="0" vertical="center"/>
    </xf>
    <xf borderId="1" fillId="8" fontId="4" numFmtId="0" xfId="0" applyAlignment="1" applyBorder="1" applyFont="1">
      <alignment horizontal="center" readingOrder="0" vertical="center"/>
    </xf>
    <xf borderId="1" fillId="10" fontId="4" numFmtId="0" xfId="0" applyAlignment="1" applyBorder="1" applyFill="1" applyFont="1">
      <alignment horizontal="center" readingOrder="0" vertical="center"/>
    </xf>
    <xf borderId="1" fillId="8" fontId="8" numFmtId="0" xfId="0" applyAlignment="1" applyBorder="1" applyFont="1">
      <alignment horizontal="center" readingOrder="0"/>
    </xf>
    <xf borderId="1" fillId="8" fontId="11" numFmtId="0" xfId="0" applyAlignment="1" applyBorder="1" applyFont="1">
      <alignment horizontal="center" readingOrder="0"/>
    </xf>
    <xf borderId="1" fillId="11" fontId="6" numFmtId="0" xfId="0" applyAlignment="1" applyBorder="1" applyFill="1" applyFont="1">
      <alignment horizontal="center" readingOrder="0" vertical="center"/>
    </xf>
    <xf borderId="1" fillId="8" fontId="11" numFmtId="0" xfId="0" applyAlignment="1" applyBorder="1" applyFont="1">
      <alignment horizontal="center"/>
    </xf>
    <xf borderId="1" fillId="8" fontId="12" numFmtId="0" xfId="0" applyAlignment="1" applyBorder="1" applyFont="1">
      <alignment horizontal="center" readingOrder="0" vertical="center"/>
    </xf>
    <xf borderId="1" fillId="0" fontId="0" numFmtId="0" xfId="0" applyAlignment="1" applyBorder="1" applyFont="1">
      <alignment horizontal="center" readingOrder="0" vertical="center"/>
    </xf>
    <xf borderId="1" fillId="3" fontId="13" numFmtId="0" xfId="0" applyAlignment="1" applyBorder="1" applyFont="1">
      <alignment horizontal="center"/>
    </xf>
    <xf borderId="1" fillId="0" fontId="14" numFmtId="0" xfId="0" applyAlignment="1" applyBorder="1" applyFont="1">
      <alignment horizontal="center" readingOrder="0" vertical="center"/>
    </xf>
    <xf borderId="1" fillId="4" fontId="0" numFmtId="0" xfId="0" applyAlignment="1" applyBorder="1" applyFont="1">
      <alignment horizontal="center" readingOrder="0" vertical="center"/>
    </xf>
    <xf borderId="1" fillId="5" fontId="1" numFmtId="0" xfId="0" applyAlignment="1" applyBorder="1" applyFont="1">
      <alignment horizontal="center" readingOrder="0" vertical="center"/>
    </xf>
    <xf borderId="1" fillId="5" fontId="15" numFmtId="0" xfId="0" applyBorder="1" applyFont="1"/>
    <xf borderId="1" fillId="7" fontId="0" numFmtId="0" xfId="0" applyAlignment="1" applyBorder="1" applyFont="1">
      <alignment horizontal="center" readingOrder="0" vertical="center"/>
    </xf>
    <xf borderId="1" fillId="8" fontId="16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horizontal="center" readingOrder="0" vertical="center"/>
    </xf>
    <xf borderId="1" fillId="9" fontId="14" numFmtId="0" xfId="0" applyAlignment="1" applyBorder="1" applyFont="1">
      <alignment horizontal="center" readingOrder="0" vertical="center"/>
    </xf>
    <xf borderId="1" fillId="10" fontId="0" numFmtId="0" xfId="0" applyAlignment="1" applyBorder="1" applyFont="1">
      <alignment horizontal="center" readingOrder="0" vertical="center"/>
    </xf>
    <xf borderId="1" fillId="8" fontId="15" numFmtId="0" xfId="0" applyAlignment="1" applyBorder="1" applyFont="1">
      <alignment horizontal="center" readingOrder="0"/>
    </xf>
    <xf borderId="1" fillId="5" fontId="1" numFmtId="0" xfId="0" applyAlignment="1" applyBorder="1" applyFont="1">
      <alignment horizontal="center" vertical="center"/>
    </xf>
    <xf borderId="1" fillId="8" fontId="15" numFmtId="0" xfId="0" applyAlignment="1" applyBorder="1" applyFont="1">
      <alignment horizontal="center"/>
    </xf>
    <xf borderId="1" fillId="8" fontId="1" numFmtId="0" xfId="0" applyAlignment="1" applyBorder="1" applyFont="1">
      <alignment horizontal="center" readingOrder="0" vertical="center"/>
    </xf>
    <xf borderId="1" fillId="0" fontId="17" numFmtId="0" xfId="0" applyAlignment="1" applyBorder="1" applyFont="1">
      <alignment horizontal="center" readingOrder="0" vertical="center"/>
    </xf>
    <xf borderId="1" fillId="8" fontId="0" numFmtId="0" xfId="0" applyAlignment="1" applyBorder="1" applyFont="1">
      <alignment horizontal="center" readingOrder="0" vertical="center"/>
    </xf>
    <xf borderId="1" fillId="8" fontId="10" numFmtId="0" xfId="0" applyAlignment="1" applyBorder="1" applyFont="1">
      <alignment horizontal="center" readingOrder="0" vertical="center"/>
    </xf>
    <xf borderId="1" fillId="5" fontId="0" numFmtId="0" xfId="0" applyAlignment="1" applyBorder="1" applyFont="1">
      <alignment horizontal="center" readingOrder="0" vertical="center"/>
    </xf>
    <xf borderId="1" fillId="12" fontId="6" numFmtId="0" xfId="0" applyAlignment="1" applyBorder="1" applyFill="1" applyFont="1">
      <alignment horizontal="center" readingOrder="0" vertical="center"/>
    </xf>
    <xf borderId="1" fillId="4" fontId="18" numFmtId="0" xfId="0" applyAlignment="1" applyBorder="1" applyFont="1">
      <alignment horizontal="center" readingOrder="0"/>
    </xf>
    <xf borderId="1" fillId="4" fontId="19" numFmtId="0" xfId="0" applyAlignment="1" applyBorder="1" applyFont="1">
      <alignment horizontal="center" readingOrder="0" vertical="center"/>
    </xf>
    <xf borderId="1" fillId="11" fontId="14" numFmtId="0" xfId="0" applyAlignment="1" applyBorder="1" applyFont="1">
      <alignment horizontal="center" readingOrder="0" vertical="center"/>
    </xf>
    <xf borderId="1" fillId="13" fontId="0" numFmtId="0" xfId="0" applyAlignment="1" applyBorder="1" applyFill="1" applyFont="1">
      <alignment horizontal="center" readingOrder="0" vertical="center"/>
    </xf>
    <xf borderId="1" fillId="4" fontId="3" numFmtId="3" xfId="0" applyAlignment="1" applyBorder="1" applyFont="1" applyNumberFormat="1">
      <alignment horizontal="center" readingOrder="0" vertical="center"/>
    </xf>
    <xf borderId="1" fillId="0" fontId="20" numFmtId="0" xfId="0" applyAlignment="1" applyBorder="1" applyFont="1">
      <alignment horizontal="center" readingOrder="0" shrinkToFit="0" vertical="center" wrapText="0"/>
    </xf>
    <xf borderId="1" fillId="4" fontId="21" numFmtId="0" xfId="0" applyAlignment="1" applyBorder="1" applyFont="1">
      <alignment horizontal="center" readingOrder="0"/>
    </xf>
    <xf borderId="1" fillId="7" fontId="22" numFmtId="0" xfId="0" applyAlignment="1" applyBorder="1" applyFont="1">
      <alignment horizontal="center" readingOrder="0"/>
    </xf>
    <xf borderId="0" fillId="0" fontId="23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23" numFmtId="0" xfId="0" applyAlignment="1" applyFont="1">
      <alignment horizontal="center" readingOrder="0" vertical="center"/>
    </xf>
    <xf borderId="0" fillId="0" fontId="22" numFmtId="0" xfId="0" applyAlignment="1" applyFont="1">
      <alignment horizontal="center" vertical="center"/>
    </xf>
    <xf borderId="0" fillId="0" fontId="2" numFmtId="0" xfId="0" applyFont="1"/>
    <xf borderId="0" fillId="0" fontId="24" numFmtId="0" xfId="0" applyAlignment="1" applyFont="1">
      <alignment horizontal="center" readingOrder="0" vertical="center"/>
    </xf>
  </cellXfs>
  <cellStyles count="1">
    <cellStyle xfId="0" name="Normal" builtinId="0"/>
  </cellStyles>
  <dxfs count="2">
    <dxf>
      <font/>
      <fill>
        <patternFill patternType="none"/>
      </fill>
      <border/>
    </dxf>
    <dxf>
      <font/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4.88"/>
    <col customWidth="1" min="3" max="3" width="15.5"/>
    <col customWidth="1" min="4" max="7" width="30.5"/>
    <col customWidth="1" min="8" max="8" width="9.88"/>
    <col customWidth="1" min="9" max="9" width="12.75"/>
    <col customWidth="1" min="10" max="10" width="13.25"/>
    <col customWidth="1" min="11" max="14" width="10.5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>
      <c r="A2" s="4" t="s">
        <v>14</v>
      </c>
      <c r="B2" s="4" t="s">
        <v>15</v>
      </c>
      <c r="C2" s="5" t="s">
        <v>16</v>
      </c>
      <c r="D2" s="6" t="s">
        <v>17</v>
      </c>
      <c r="E2" s="6"/>
      <c r="F2" s="6"/>
      <c r="G2" s="6"/>
      <c r="H2" s="4">
        <v>60.0</v>
      </c>
      <c r="I2" s="4" t="s">
        <v>18</v>
      </c>
      <c r="J2" s="7" t="s">
        <v>19</v>
      </c>
      <c r="K2" s="8">
        <v>650.0</v>
      </c>
      <c r="L2" s="9"/>
      <c r="M2" s="9"/>
      <c r="N2" s="9"/>
    </row>
    <row r="3">
      <c r="A3" s="4" t="s">
        <v>20</v>
      </c>
      <c r="B3" s="10" t="s">
        <v>21</v>
      </c>
      <c r="C3" s="5" t="s">
        <v>16</v>
      </c>
      <c r="D3" s="6" t="s">
        <v>17</v>
      </c>
      <c r="E3" s="6"/>
      <c r="F3" s="6"/>
      <c r="G3" s="6"/>
      <c r="H3" s="4">
        <v>650.0</v>
      </c>
      <c r="I3" s="4" t="s">
        <v>18</v>
      </c>
      <c r="J3" s="7" t="s">
        <v>22</v>
      </c>
      <c r="K3" s="11">
        <v>650.0</v>
      </c>
      <c r="L3" s="12"/>
      <c r="M3" s="12"/>
      <c r="N3" s="12"/>
    </row>
    <row r="4">
      <c r="A4" s="4" t="s">
        <v>23</v>
      </c>
      <c r="B4" s="4" t="s">
        <v>24</v>
      </c>
      <c r="C4" s="13" t="s">
        <v>25</v>
      </c>
      <c r="D4" s="6" t="s">
        <v>17</v>
      </c>
      <c r="E4" s="6"/>
      <c r="F4" s="6"/>
      <c r="G4" s="6"/>
      <c r="H4" s="4">
        <v>650.0</v>
      </c>
      <c r="I4" s="4" t="s">
        <v>18</v>
      </c>
      <c r="J4" s="14" t="s">
        <v>26</v>
      </c>
      <c r="K4" s="15">
        <v>325.0</v>
      </c>
      <c r="L4" s="16"/>
      <c r="M4" s="17"/>
      <c r="N4" s="17"/>
    </row>
    <row r="5">
      <c r="A5" s="4" t="s">
        <v>27</v>
      </c>
      <c r="B5" s="4" t="s">
        <v>28</v>
      </c>
      <c r="C5" s="18" t="s">
        <v>29</v>
      </c>
      <c r="D5" s="6" t="s">
        <v>17</v>
      </c>
      <c r="E5" s="6"/>
      <c r="F5" s="6"/>
      <c r="G5" s="6"/>
      <c r="H5" s="4">
        <v>650.0</v>
      </c>
      <c r="I5" s="4" t="s">
        <v>18</v>
      </c>
      <c r="J5" s="14" t="s">
        <v>30</v>
      </c>
      <c r="K5" s="19">
        <v>163.75</v>
      </c>
      <c r="L5" s="20"/>
      <c r="M5" s="20"/>
      <c r="N5" s="20"/>
    </row>
    <row r="6">
      <c r="A6" s="4" t="s">
        <v>31</v>
      </c>
      <c r="B6" s="4" t="s">
        <v>32</v>
      </c>
      <c r="C6" s="18" t="s">
        <v>29</v>
      </c>
      <c r="D6" s="6" t="s">
        <v>17</v>
      </c>
      <c r="E6" s="6"/>
      <c r="F6" s="6"/>
      <c r="G6" s="6"/>
      <c r="H6" s="4">
        <v>650.0</v>
      </c>
      <c r="I6" s="4" t="s">
        <v>18</v>
      </c>
      <c r="J6" s="14" t="s">
        <v>33</v>
      </c>
      <c r="K6" s="19">
        <v>163.75</v>
      </c>
      <c r="L6" s="20"/>
      <c r="M6" s="20"/>
      <c r="N6" s="20"/>
    </row>
    <row r="7">
      <c r="A7" s="4" t="s">
        <v>34</v>
      </c>
      <c r="B7" s="4" t="s">
        <v>35</v>
      </c>
      <c r="C7" s="18" t="s">
        <v>29</v>
      </c>
      <c r="D7" s="6" t="s">
        <v>36</v>
      </c>
      <c r="E7" s="6"/>
      <c r="F7" s="6"/>
      <c r="G7" s="6"/>
      <c r="H7" s="4">
        <v>550.0</v>
      </c>
      <c r="I7" s="4" t="s">
        <v>18</v>
      </c>
      <c r="J7" s="14" t="s">
        <v>37</v>
      </c>
      <c r="K7" s="19">
        <v>138.75</v>
      </c>
      <c r="L7" s="20"/>
      <c r="M7" s="20"/>
      <c r="N7" s="20"/>
    </row>
    <row r="8">
      <c r="A8" s="4" t="s">
        <v>38</v>
      </c>
      <c r="B8" s="4" t="s">
        <v>39</v>
      </c>
      <c r="C8" s="5" t="s">
        <v>16</v>
      </c>
      <c r="D8" s="6" t="s">
        <v>40</v>
      </c>
      <c r="E8" s="6"/>
      <c r="F8" s="6"/>
      <c r="G8" s="6"/>
      <c r="H8" s="4">
        <v>550.0</v>
      </c>
      <c r="I8" s="4" t="s">
        <v>18</v>
      </c>
      <c r="J8" s="7" t="s">
        <v>41</v>
      </c>
      <c r="K8" s="8">
        <v>550.0</v>
      </c>
      <c r="L8" s="12"/>
      <c r="M8" s="12"/>
      <c r="N8" s="12"/>
    </row>
    <row r="9">
      <c r="A9" s="4" t="s">
        <v>42</v>
      </c>
      <c r="B9" s="10" t="s">
        <v>43</v>
      </c>
      <c r="C9" s="5" t="s">
        <v>16</v>
      </c>
      <c r="D9" s="6" t="s">
        <v>40</v>
      </c>
      <c r="E9" s="6" t="s">
        <v>44</v>
      </c>
      <c r="F9" s="6" t="s">
        <v>45</v>
      </c>
      <c r="G9" s="6"/>
      <c r="H9" s="4">
        <v>2640.0</v>
      </c>
      <c r="I9" s="4" t="s">
        <v>46</v>
      </c>
      <c r="J9" s="7" t="s">
        <v>47</v>
      </c>
      <c r="K9" s="8">
        <f>50*11+120*11+70*11</f>
        <v>2640</v>
      </c>
      <c r="L9" s="21"/>
      <c r="M9" s="21"/>
      <c r="N9" s="21"/>
    </row>
    <row r="10">
      <c r="A10" s="4" t="s">
        <v>48</v>
      </c>
      <c r="B10" s="4" t="s">
        <v>49</v>
      </c>
      <c r="C10" s="5" t="s">
        <v>16</v>
      </c>
      <c r="D10" s="6" t="s">
        <v>40</v>
      </c>
      <c r="E10" s="6" t="s">
        <v>45</v>
      </c>
      <c r="F10" s="6"/>
      <c r="G10" s="6"/>
      <c r="H10" s="4">
        <v>1320.0</v>
      </c>
      <c r="I10" s="4" t="s">
        <v>18</v>
      </c>
      <c r="J10" s="7" t="s">
        <v>50</v>
      </c>
      <c r="K10" s="8" t="s">
        <v>51</v>
      </c>
      <c r="L10" s="12"/>
      <c r="M10" s="12"/>
      <c r="N10" s="12"/>
    </row>
    <row r="11">
      <c r="A11" s="4" t="s">
        <v>52</v>
      </c>
      <c r="B11" s="4" t="s">
        <v>53</v>
      </c>
      <c r="C11" s="18" t="s">
        <v>29</v>
      </c>
      <c r="D11" s="6" t="s">
        <v>40</v>
      </c>
      <c r="E11" s="6"/>
      <c r="F11" s="6"/>
      <c r="G11" s="6"/>
      <c r="H11" s="4">
        <v>550.0</v>
      </c>
      <c r="I11" s="4" t="s">
        <v>46</v>
      </c>
      <c r="J11" s="14" t="s">
        <v>54</v>
      </c>
      <c r="K11" s="19">
        <v>138.75</v>
      </c>
      <c r="L11" s="22"/>
      <c r="M11" s="22"/>
      <c r="N11" s="22"/>
    </row>
    <row r="12">
      <c r="A12" s="4" t="s">
        <v>55</v>
      </c>
      <c r="B12" s="4" t="s">
        <v>56</v>
      </c>
      <c r="C12" s="13" t="s">
        <v>25</v>
      </c>
      <c r="D12" s="6" t="s">
        <v>57</v>
      </c>
      <c r="E12" s="6"/>
      <c r="F12" s="6"/>
      <c r="G12" s="6"/>
      <c r="H12" s="4">
        <v>650.0</v>
      </c>
      <c r="I12" s="4" t="s">
        <v>18</v>
      </c>
      <c r="J12" s="23" t="s">
        <v>58</v>
      </c>
      <c r="K12" s="15">
        <v>325.0</v>
      </c>
      <c r="L12" s="24"/>
      <c r="M12" s="9"/>
      <c r="N12" s="9"/>
    </row>
    <row r="13">
      <c r="A13" s="4" t="s">
        <v>59</v>
      </c>
      <c r="B13" s="4" t="s">
        <v>60</v>
      </c>
      <c r="C13" s="18" t="s">
        <v>29</v>
      </c>
      <c r="D13" s="6" t="s">
        <v>57</v>
      </c>
      <c r="E13" s="6"/>
      <c r="F13" s="6"/>
      <c r="G13" s="6"/>
      <c r="H13" s="4">
        <v>650.0</v>
      </c>
      <c r="I13" s="4" t="s">
        <v>18</v>
      </c>
      <c r="J13" s="14" t="s">
        <v>61</v>
      </c>
      <c r="K13" s="19">
        <v>163.75</v>
      </c>
      <c r="L13" s="20"/>
      <c r="M13" s="20"/>
      <c r="N13" s="20"/>
    </row>
    <row r="14">
      <c r="A14" s="4" t="s">
        <v>62</v>
      </c>
      <c r="B14" s="4" t="s">
        <v>63</v>
      </c>
      <c r="C14" s="13" t="s">
        <v>25</v>
      </c>
      <c r="D14" s="6" t="s">
        <v>64</v>
      </c>
      <c r="E14" s="6"/>
      <c r="F14" s="6"/>
      <c r="G14" s="6"/>
      <c r="H14" s="4">
        <v>650.0</v>
      </c>
      <c r="I14" s="4" t="s">
        <v>46</v>
      </c>
      <c r="J14" s="23" t="s">
        <v>65</v>
      </c>
      <c r="K14" s="15" t="s">
        <v>66</v>
      </c>
      <c r="L14" s="25"/>
      <c r="M14" s="9"/>
      <c r="N14" s="9"/>
    </row>
    <row r="15">
      <c r="A15" s="4" t="s">
        <v>67</v>
      </c>
      <c r="B15" s="4" t="s">
        <v>68</v>
      </c>
      <c r="C15" s="13" t="s">
        <v>25</v>
      </c>
      <c r="D15" s="6" t="s">
        <v>64</v>
      </c>
      <c r="E15" s="6" t="s">
        <v>57</v>
      </c>
      <c r="F15" s="6"/>
      <c r="G15" s="6"/>
      <c r="H15" s="4">
        <v>1300.0</v>
      </c>
      <c r="I15" s="4" t="s">
        <v>18</v>
      </c>
      <c r="J15" s="14" t="s">
        <v>69</v>
      </c>
      <c r="K15" s="15">
        <v>650.0</v>
      </c>
      <c r="L15" s="24"/>
      <c r="M15" s="9"/>
      <c r="N15" s="9"/>
    </row>
    <row r="16">
      <c r="A16" s="4" t="s">
        <v>70</v>
      </c>
      <c r="B16" s="4" t="s">
        <v>71</v>
      </c>
      <c r="C16" s="18" t="s">
        <v>29</v>
      </c>
      <c r="D16" s="6" t="s">
        <v>64</v>
      </c>
      <c r="E16" s="6"/>
      <c r="F16" s="6"/>
      <c r="G16" s="6"/>
      <c r="H16" s="4">
        <v>650.0</v>
      </c>
      <c r="I16" s="4" t="s">
        <v>18</v>
      </c>
      <c r="J16" s="14" t="s">
        <v>72</v>
      </c>
      <c r="K16" s="19">
        <v>163.75</v>
      </c>
      <c r="L16" s="22"/>
      <c r="M16" s="22"/>
      <c r="N16" s="22"/>
    </row>
    <row r="17">
      <c r="A17" s="4" t="s">
        <v>73</v>
      </c>
      <c r="B17" s="4" t="s">
        <v>74</v>
      </c>
      <c r="C17" s="18" t="s">
        <v>29</v>
      </c>
      <c r="D17" s="6" t="s">
        <v>64</v>
      </c>
      <c r="E17" s="6"/>
      <c r="F17" s="6"/>
      <c r="G17" s="6"/>
      <c r="H17" s="4">
        <v>650.0</v>
      </c>
      <c r="I17" s="4" t="s">
        <v>18</v>
      </c>
      <c r="J17" s="14" t="s">
        <v>75</v>
      </c>
      <c r="K17" s="7">
        <v>163.75</v>
      </c>
      <c r="L17" s="20"/>
      <c r="M17" s="20"/>
      <c r="N17" s="20"/>
    </row>
    <row r="18">
      <c r="A18" s="4" t="s">
        <v>76</v>
      </c>
      <c r="B18" s="4" t="s">
        <v>77</v>
      </c>
      <c r="C18" s="5" t="s">
        <v>16</v>
      </c>
      <c r="D18" s="6" t="s">
        <v>78</v>
      </c>
      <c r="E18" s="6"/>
      <c r="F18" s="6"/>
      <c r="G18" s="6"/>
      <c r="H18" s="4">
        <v>650.0</v>
      </c>
      <c r="I18" s="4" t="s">
        <v>18</v>
      </c>
      <c r="J18" s="14" t="s">
        <v>79</v>
      </c>
      <c r="K18" s="11">
        <v>650.0</v>
      </c>
      <c r="L18" s="12"/>
      <c r="M18" s="12"/>
      <c r="N18" s="12"/>
    </row>
    <row r="19" hidden="1">
      <c r="A19" s="4" t="s">
        <v>80</v>
      </c>
      <c r="B19" s="10" t="s">
        <v>81</v>
      </c>
      <c r="C19" s="18" t="s">
        <v>29</v>
      </c>
      <c r="D19" s="6" t="s">
        <v>82</v>
      </c>
      <c r="E19" s="6"/>
      <c r="F19" s="6"/>
      <c r="G19" s="6"/>
      <c r="H19" s="4" t="str">
        <f>AVERAGE(#REF!*#REF!)</f>
        <v>#REF!</v>
      </c>
      <c r="I19" s="4"/>
      <c r="J19" s="4"/>
      <c r="K19" s="20"/>
      <c r="L19" s="20"/>
      <c r="M19" s="20"/>
      <c r="N19" s="20"/>
    </row>
    <row r="20">
      <c r="A20" s="4" t="s">
        <v>83</v>
      </c>
      <c r="B20" s="4" t="s">
        <v>84</v>
      </c>
      <c r="C20" s="26" t="s">
        <v>85</v>
      </c>
      <c r="D20" s="6" t="s">
        <v>78</v>
      </c>
      <c r="E20" s="6"/>
      <c r="F20" s="6"/>
      <c r="G20" s="6"/>
      <c r="H20" s="4">
        <v>650.0</v>
      </c>
      <c r="I20" s="4" t="s">
        <v>18</v>
      </c>
      <c r="J20" s="14" t="s">
        <v>86</v>
      </c>
      <c r="K20" s="15">
        <v>325.0</v>
      </c>
      <c r="L20" s="16"/>
      <c r="M20" s="17"/>
      <c r="N20" s="17"/>
    </row>
    <row r="21">
      <c r="A21" s="4" t="s">
        <v>87</v>
      </c>
      <c r="B21" s="4" t="s">
        <v>88</v>
      </c>
      <c r="C21" s="26" t="s">
        <v>85</v>
      </c>
      <c r="D21" s="6" t="s">
        <v>78</v>
      </c>
      <c r="E21" s="6"/>
      <c r="F21" s="6"/>
      <c r="G21" s="6"/>
      <c r="H21" s="4">
        <v>650.0</v>
      </c>
      <c r="I21" s="4" t="s">
        <v>46</v>
      </c>
      <c r="J21" s="14"/>
      <c r="K21" s="15">
        <v>250.0</v>
      </c>
      <c r="L21" s="27"/>
      <c r="M21" s="28"/>
      <c r="N21" s="28"/>
    </row>
    <row r="22">
      <c r="A22" s="29" t="s">
        <v>89</v>
      </c>
      <c r="B22" s="29" t="s">
        <v>90</v>
      </c>
      <c r="C22" s="30" t="s">
        <v>16</v>
      </c>
      <c r="D22" s="6" t="s">
        <v>17</v>
      </c>
      <c r="E22" s="31"/>
      <c r="F22" s="31"/>
      <c r="G22" s="31"/>
      <c r="H22" s="29">
        <v>650.0</v>
      </c>
      <c r="I22" s="29" t="s">
        <v>18</v>
      </c>
      <c r="J22" s="32" t="s">
        <v>91</v>
      </c>
      <c r="K22" s="11">
        <v>650.0</v>
      </c>
      <c r="L22" s="33"/>
      <c r="M22" s="34"/>
      <c r="N22" s="34"/>
    </row>
    <row r="23">
      <c r="A23" s="29" t="s">
        <v>92</v>
      </c>
      <c r="B23" s="29" t="s">
        <v>93</v>
      </c>
      <c r="C23" s="30" t="s">
        <v>16</v>
      </c>
      <c r="D23" s="6" t="s">
        <v>17</v>
      </c>
      <c r="E23" s="31"/>
      <c r="F23" s="31"/>
      <c r="G23" s="31"/>
      <c r="H23" s="29">
        <v>650.0</v>
      </c>
      <c r="I23" s="29" t="s">
        <v>18</v>
      </c>
      <c r="J23" s="32" t="s">
        <v>94</v>
      </c>
      <c r="K23" s="8">
        <v>650.0</v>
      </c>
      <c r="L23" s="33"/>
      <c r="M23" s="33"/>
      <c r="N23" s="33"/>
    </row>
    <row r="24">
      <c r="A24" s="29" t="s">
        <v>95</v>
      </c>
      <c r="B24" s="29" t="s">
        <v>96</v>
      </c>
      <c r="C24" s="13" t="s">
        <v>25</v>
      </c>
      <c r="D24" s="6" t="s">
        <v>57</v>
      </c>
      <c r="E24" s="31"/>
      <c r="F24" s="31"/>
      <c r="G24" s="31"/>
      <c r="H24" s="29">
        <v>550.0</v>
      </c>
      <c r="I24" s="29" t="s">
        <v>18</v>
      </c>
      <c r="J24" s="35" t="s">
        <v>97</v>
      </c>
      <c r="K24" s="15">
        <v>225.0</v>
      </c>
      <c r="L24" s="36"/>
      <c r="M24" s="34"/>
      <c r="N24" s="34"/>
    </row>
    <row r="25">
      <c r="A25" s="29" t="s">
        <v>98</v>
      </c>
      <c r="B25" s="37" t="s">
        <v>99</v>
      </c>
      <c r="C25" s="38" t="s">
        <v>29</v>
      </c>
      <c r="D25" s="6" t="s">
        <v>57</v>
      </c>
      <c r="E25" s="31"/>
      <c r="F25" s="31"/>
      <c r="G25" s="31"/>
      <c r="H25" s="29">
        <v>555.0</v>
      </c>
      <c r="I25" s="29" t="s">
        <v>18</v>
      </c>
      <c r="J25" s="35" t="s">
        <v>100</v>
      </c>
      <c r="K25" s="19">
        <v>138.75</v>
      </c>
      <c r="L25" s="36"/>
      <c r="M25" s="36"/>
      <c r="N25" s="36"/>
    </row>
    <row r="26">
      <c r="A26" s="29" t="s">
        <v>101</v>
      </c>
      <c r="B26" s="37" t="s">
        <v>102</v>
      </c>
      <c r="C26" s="13" t="s">
        <v>25</v>
      </c>
      <c r="D26" s="6" t="s">
        <v>57</v>
      </c>
      <c r="E26" s="31"/>
      <c r="F26" s="31"/>
      <c r="G26" s="31"/>
      <c r="H26" s="29">
        <v>550.0</v>
      </c>
      <c r="I26" s="29" t="s">
        <v>18</v>
      </c>
      <c r="J26" s="39" t="s">
        <v>103</v>
      </c>
      <c r="K26" s="15">
        <v>275.0</v>
      </c>
      <c r="L26" s="40"/>
      <c r="M26" s="34"/>
      <c r="N26" s="34"/>
    </row>
    <row r="27">
      <c r="A27" s="29" t="s">
        <v>104</v>
      </c>
      <c r="B27" s="29" t="s">
        <v>105</v>
      </c>
      <c r="C27" s="30" t="s">
        <v>16</v>
      </c>
      <c r="D27" s="6" t="s">
        <v>57</v>
      </c>
      <c r="E27" s="31"/>
      <c r="F27" s="31"/>
      <c r="G27" s="31"/>
      <c r="H27" s="29">
        <v>650.0</v>
      </c>
      <c r="I27" s="29" t="s">
        <v>18</v>
      </c>
      <c r="J27" s="32" t="s">
        <v>106</v>
      </c>
      <c r="K27" s="8">
        <v>650.0</v>
      </c>
      <c r="L27" s="33"/>
      <c r="M27" s="33"/>
      <c r="N27" s="33"/>
    </row>
    <row r="28">
      <c r="A28" s="29" t="s">
        <v>107</v>
      </c>
      <c r="B28" s="29" t="s">
        <v>108</v>
      </c>
      <c r="C28" s="30" t="s">
        <v>16</v>
      </c>
      <c r="D28" s="6" t="s">
        <v>57</v>
      </c>
      <c r="E28" s="31"/>
      <c r="F28" s="31"/>
      <c r="G28" s="31"/>
      <c r="H28" s="29">
        <v>650.0</v>
      </c>
      <c r="I28" s="4" t="s">
        <v>46</v>
      </c>
      <c r="J28" s="32" t="s">
        <v>109</v>
      </c>
      <c r="K28" s="8">
        <v>650.0</v>
      </c>
      <c r="L28" s="33"/>
      <c r="M28" s="33"/>
      <c r="N28" s="33"/>
    </row>
    <row r="29">
      <c r="A29" s="29" t="s">
        <v>110</v>
      </c>
      <c r="B29" s="29" t="s">
        <v>111</v>
      </c>
      <c r="C29" s="30" t="s">
        <v>16</v>
      </c>
      <c r="D29" s="6" t="s">
        <v>57</v>
      </c>
      <c r="E29" s="31"/>
      <c r="F29" s="31"/>
      <c r="G29" s="31"/>
      <c r="H29" s="29">
        <v>650.0</v>
      </c>
      <c r="I29" s="4" t="s">
        <v>46</v>
      </c>
      <c r="J29" s="32" t="s">
        <v>112</v>
      </c>
      <c r="K29" s="11">
        <v>650.0</v>
      </c>
      <c r="L29" s="41"/>
      <c r="M29" s="41"/>
      <c r="N29" s="41"/>
    </row>
    <row r="30">
      <c r="A30" s="29" t="s">
        <v>113</v>
      </c>
      <c r="B30" s="29" t="s">
        <v>114</v>
      </c>
      <c r="C30" s="38" t="s">
        <v>29</v>
      </c>
      <c r="D30" s="6" t="s">
        <v>57</v>
      </c>
      <c r="E30" s="31"/>
      <c r="F30" s="31"/>
      <c r="G30" s="31"/>
      <c r="H30" s="29">
        <v>655.0</v>
      </c>
      <c r="I30" s="29" t="s">
        <v>18</v>
      </c>
      <c r="J30" s="35" t="s">
        <v>115</v>
      </c>
      <c r="K30" s="7">
        <v>163.75</v>
      </c>
      <c r="L30" s="42"/>
      <c r="M30" s="43"/>
      <c r="N30" s="43"/>
    </row>
    <row r="31">
      <c r="A31" s="29" t="s">
        <v>116</v>
      </c>
      <c r="B31" s="29" t="s">
        <v>105</v>
      </c>
      <c r="C31" s="30" t="s">
        <v>16</v>
      </c>
      <c r="D31" s="6" t="s">
        <v>64</v>
      </c>
      <c r="E31" s="31"/>
      <c r="F31" s="31"/>
      <c r="G31" s="31"/>
      <c r="H31" s="29">
        <v>650.0</v>
      </c>
      <c r="I31" s="29" t="s">
        <v>18</v>
      </c>
      <c r="J31" s="32" t="s">
        <v>117</v>
      </c>
      <c r="K31" s="8">
        <v>650.0</v>
      </c>
      <c r="L31" s="33"/>
      <c r="M31" s="33"/>
      <c r="N31" s="33"/>
    </row>
    <row r="32">
      <c r="A32" s="29" t="s">
        <v>118</v>
      </c>
      <c r="B32" s="44" t="s">
        <v>119</v>
      </c>
      <c r="C32" s="38" t="s">
        <v>29</v>
      </c>
      <c r="D32" s="6" t="s">
        <v>64</v>
      </c>
      <c r="E32" s="31"/>
      <c r="F32" s="31"/>
      <c r="G32" s="31"/>
      <c r="H32" s="29">
        <v>655.0</v>
      </c>
      <c r="I32" s="29" t="s">
        <v>18</v>
      </c>
      <c r="J32" s="35" t="s">
        <v>120</v>
      </c>
      <c r="K32" s="19">
        <v>163.75</v>
      </c>
      <c r="L32" s="45"/>
      <c r="M32" s="45"/>
      <c r="N32" s="45"/>
    </row>
    <row r="33" hidden="1">
      <c r="A33" s="4" t="s">
        <v>121</v>
      </c>
      <c r="B33" s="4" t="s">
        <v>122</v>
      </c>
      <c r="C33" s="5" t="s">
        <v>16</v>
      </c>
      <c r="D33" s="6" t="s">
        <v>122</v>
      </c>
      <c r="E33" s="6"/>
      <c r="F33" s="6"/>
      <c r="G33" s="6"/>
      <c r="H33" s="4"/>
      <c r="I33" s="4"/>
      <c r="J33" s="7"/>
      <c r="K33" s="46"/>
      <c r="L33" s="20"/>
      <c r="M33" s="20"/>
      <c r="N33" s="20"/>
    </row>
    <row r="34">
      <c r="A34" s="29" t="s">
        <v>123</v>
      </c>
      <c r="B34" s="29" t="s">
        <v>71</v>
      </c>
      <c r="C34" s="38" t="s">
        <v>29</v>
      </c>
      <c r="D34" s="6" t="s">
        <v>64</v>
      </c>
      <c r="E34" s="31"/>
      <c r="F34" s="31"/>
      <c r="G34" s="31"/>
      <c r="H34" s="29">
        <v>655.0</v>
      </c>
      <c r="I34" s="29" t="s">
        <v>18</v>
      </c>
      <c r="J34" s="35" t="s">
        <v>124</v>
      </c>
      <c r="K34" s="19">
        <v>163.75</v>
      </c>
      <c r="L34" s="45"/>
      <c r="M34" s="45"/>
      <c r="N34" s="45"/>
    </row>
    <row r="35">
      <c r="A35" s="29" t="s">
        <v>125</v>
      </c>
      <c r="B35" s="29" t="s">
        <v>126</v>
      </c>
      <c r="C35" s="38" t="s">
        <v>29</v>
      </c>
      <c r="D35" s="6" t="s">
        <v>64</v>
      </c>
      <c r="E35" s="31"/>
      <c r="F35" s="31"/>
      <c r="G35" s="31"/>
      <c r="H35" s="29">
        <v>655.0</v>
      </c>
      <c r="I35" s="29" t="s">
        <v>18</v>
      </c>
      <c r="J35" s="35" t="s">
        <v>127</v>
      </c>
      <c r="K35" s="19">
        <v>163.75</v>
      </c>
      <c r="L35" s="43"/>
      <c r="M35" s="43"/>
      <c r="N35" s="43"/>
    </row>
    <row r="36">
      <c r="A36" s="29" t="s">
        <v>128</v>
      </c>
      <c r="B36" s="37" t="s">
        <v>129</v>
      </c>
      <c r="C36" s="38" t="s">
        <v>29</v>
      </c>
      <c r="D36" s="6" t="s">
        <v>64</v>
      </c>
      <c r="E36" s="31"/>
      <c r="F36" s="31"/>
      <c r="G36" s="31"/>
      <c r="H36" s="29">
        <v>655.0</v>
      </c>
      <c r="I36" s="29" t="s">
        <v>18</v>
      </c>
      <c r="J36" s="35" t="s">
        <v>130</v>
      </c>
      <c r="K36" s="7">
        <v>163.75</v>
      </c>
      <c r="L36" s="42"/>
      <c r="M36" s="43"/>
      <c r="N36" s="43"/>
    </row>
    <row r="37">
      <c r="A37" s="29" t="s">
        <v>131</v>
      </c>
      <c r="B37" s="29" t="s">
        <v>132</v>
      </c>
      <c r="C37" s="38" t="s">
        <v>29</v>
      </c>
      <c r="D37" s="6" t="s">
        <v>64</v>
      </c>
      <c r="E37" s="31"/>
      <c r="F37" s="31"/>
      <c r="G37" s="31"/>
      <c r="H37" s="29">
        <v>655.0</v>
      </c>
      <c r="I37" s="29" t="s">
        <v>18</v>
      </c>
      <c r="J37" s="35" t="s">
        <v>133</v>
      </c>
      <c r="K37" s="7">
        <v>163.75</v>
      </c>
      <c r="L37" s="43"/>
      <c r="M37" s="43"/>
      <c r="N37" s="43"/>
    </row>
    <row r="38">
      <c r="A38" s="29" t="s">
        <v>134</v>
      </c>
      <c r="B38" s="29" t="s">
        <v>135</v>
      </c>
      <c r="C38" s="38" t="s">
        <v>29</v>
      </c>
      <c r="D38" s="6" t="s">
        <v>136</v>
      </c>
      <c r="E38" s="31"/>
      <c r="F38" s="31"/>
      <c r="G38" s="31"/>
      <c r="H38" s="29">
        <v>655.0</v>
      </c>
      <c r="I38" s="29" t="s">
        <v>18</v>
      </c>
      <c r="J38" s="35" t="s">
        <v>137</v>
      </c>
      <c r="K38" s="19">
        <v>163.75</v>
      </c>
      <c r="L38" s="43"/>
      <c r="M38" s="43"/>
      <c r="N38" s="43"/>
    </row>
    <row r="39">
      <c r="A39" s="29" t="s">
        <v>138</v>
      </c>
      <c r="B39" s="29" t="s">
        <v>139</v>
      </c>
      <c r="C39" s="30" t="s">
        <v>16</v>
      </c>
      <c r="D39" s="6" t="s">
        <v>136</v>
      </c>
      <c r="E39" s="31"/>
      <c r="F39" s="31"/>
      <c r="G39" s="31"/>
      <c r="H39" s="29">
        <v>650.0</v>
      </c>
      <c r="I39" s="29" t="s">
        <v>18</v>
      </c>
      <c r="J39" s="32" t="s">
        <v>140</v>
      </c>
      <c r="K39" s="8">
        <v>650.0</v>
      </c>
      <c r="L39" s="33"/>
      <c r="M39" s="33"/>
      <c r="N39" s="33"/>
    </row>
    <row r="40">
      <c r="A40" s="44" t="s">
        <v>141</v>
      </c>
      <c r="B40" s="29" t="s">
        <v>142</v>
      </c>
      <c r="C40" s="30" t="s">
        <v>16</v>
      </c>
      <c r="D40" s="6" t="s">
        <v>136</v>
      </c>
      <c r="E40" s="31"/>
      <c r="F40" s="31"/>
      <c r="G40" s="31"/>
      <c r="H40" s="29">
        <v>650.0</v>
      </c>
      <c r="I40" s="29" t="s">
        <v>18</v>
      </c>
      <c r="J40" s="32" t="s">
        <v>143</v>
      </c>
      <c r="K40" s="11">
        <v>650.0</v>
      </c>
      <c r="L40" s="33"/>
      <c r="M40" s="34"/>
      <c r="N40" s="34"/>
    </row>
    <row r="41">
      <c r="A41" s="29" t="s">
        <v>144</v>
      </c>
      <c r="B41" s="29" t="s">
        <v>145</v>
      </c>
      <c r="C41" s="30" t="s">
        <v>16</v>
      </c>
      <c r="D41" s="6" t="s">
        <v>136</v>
      </c>
      <c r="E41" s="31"/>
      <c r="F41" s="31"/>
      <c r="G41" s="31"/>
      <c r="H41" s="29">
        <v>400.0</v>
      </c>
      <c r="I41" s="4" t="s">
        <v>46</v>
      </c>
      <c r="J41" s="35" t="s">
        <v>146</v>
      </c>
      <c r="K41" s="11">
        <v>400.0</v>
      </c>
      <c r="L41" s="47"/>
      <c r="M41" s="47"/>
      <c r="N41" s="47"/>
    </row>
    <row r="42">
      <c r="A42" s="4" t="s">
        <v>147</v>
      </c>
      <c r="B42" s="4" t="s">
        <v>148</v>
      </c>
      <c r="C42" s="13" t="s">
        <v>25</v>
      </c>
      <c r="D42" s="6" t="s">
        <v>149</v>
      </c>
      <c r="E42" s="6"/>
      <c r="F42" s="6"/>
      <c r="G42" s="6"/>
      <c r="H42" s="4">
        <v>1300.0</v>
      </c>
      <c r="I42" s="4" t="s">
        <v>18</v>
      </c>
      <c r="J42" s="23" t="s">
        <v>150</v>
      </c>
      <c r="K42" s="15" t="s">
        <v>151</v>
      </c>
      <c r="L42" s="24"/>
      <c r="M42" s="9"/>
      <c r="N42" s="9"/>
    </row>
    <row r="43">
      <c r="A43" s="4" t="s">
        <v>152</v>
      </c>
      <c r="B43" s="10" t="s">
        <v>153</v>
      </c>
      <c r="C43" s="5" t="s">
        <v>16</v>
      </c>
      <c r="D43" s="6" t="s">
        <v>45</v>
      </c>
      <c r="E43" s="6" t="s">
        <v>154</v>
      </c>
      <c r="F43" s="6"/>
      <c r="G43" s="6"/>
      <c r="H43" s="4">
        <v>2330.0</v>
      </c>
      <c r="I43" s="4" t="s">
        <v>18</v>
      </c>
      <c r="J43" s="7" t="s">
        <v>155</v>
      </c>
      <c r="K43" s="8">
        <v>2330.0</v>
      </c>
      <c r="L43" s="12"/>
      <c r="M43" s="12"/>
      <c r="N43" s="12"/>
    </row>
    <row r="44">
      <c r="A44" s="4" t="s">
        <v>156</v>
      </c>
      <c r="B44" s="4" t="s">
        <v>157</v>
      </c>
      <c r="C44" s="18" t="s">
        <v>29</v>
      </c>
      <c r="D44" s="6" t="s">
        <v>45</v>
      </c>
      <c r="E44" s="6" t="s">
        <v>40</v>
      </c>
      <c r="F44" s="6"/>
      <c r="G44" s="6"/>
      <c r="H44" s="4">
        <v>1320.0</v>
      </c>
      <c r="I44" s="4" t="s">
        <v>18</v>
      </c>
      <c r="J44" s="14" t="s">
        <v>158</v>
      </c>
      <c r="K44" s="19">
        <v>331.25</v>
      </c>
      <c r="L44" s="22"/>
      <c r="M44" s="22"/>
      <c r="N44" s="22"/>
    </row>
    <row r="45">
      <c r="A45" s="4" t="s">
        <v>159</v>
      </c>
      <c r="B45" s="10" t="s">
        <v>160</v>
      </c>
      <c r="C45" s="48" t="s">
        <v>161</v>
      </c>
      <c r="D45" s="6" t="s">
        <v>45</v>
      </c>
      <c r="E45" s="6" t="s">
        <v>162</v>
      </c>
      <c r="F45" s="6" t="s">
        <v>163</v>
      </c>
      <c r="G45" s="6" t="s">
        <v>164</v>
      </c>
      <c r="H45" s="4">
        <v>4690.0</v>
      </c>
      <c r="I45" s="4" t="s">
        <v>46</v>
      </c>
      <c r="J45" s="23" t="s">
        <v>165</v>
      </c>
      <c r="K45" s="15">
        <v>1400.0</v>
      </c>
      <c r="L45" s="49">
        <v>1000.0</v>
      </c>
      <c r="M45" s="49">
        <v>900.0</v>
      </c>
      <c r="N45" s="28"/>
    </row>
    <row r="46">
      <c r="A46" s="4" t="s">
        <v>166</v>
      </c>
      <c r="B46" s="10" t="s">
        <v>160</v>
      </c>
      <c r="C46" s="48" t="s">
        <v>161</v>
      </c>
      <c r="D46" s="6" t="s">
        <v>45</v>
      </c>
      <c r="E46" s="6" t="s">
        <v>162</v>
      </c>
      <c r="F46" s="6" t="s">
        <v>163</v>
      </c>
      <c r="G46" s="6" t="s">
        <v>164</v>
      </c>
      <c r="H46" s="4">
        <v>4690.0</v>
      </c>
      <c r="I46" s="4" t="s">
        <v>46</v>
      </c>
      <c r="J46" s="23" t="s">
        <v>167</v>
      </c>
      <c r="K46" s="15">
        <v>2000.0</v>
      </c>
      <c r="L46" s="49">
        <v>1000.0</v>
      </c>
      <c r="M46" s="49">
        <v>1200.0</v>
      </c>
      <c r="N46" s="28"/>
    </row>
    <row r="47">
      <c r="A47" s="4" t="s">
        <v>168</v>
      </c>
      <c r="B47" s="10" t="s">
        <v>169</v>
      </c>
      <c r="C47" s="5" t="s">
        <v>16</v>
      </c>
      <c r="D47" s="6" t="s">
        <v>170</v>
      </c>
      <c r="E47" s="6" t="s">
        <v>171</v>
      </c>
      <c r="F47" s="6" t="s">
        <v>45</v>
      </c>
      <c r="G47" s="6"/>
      <c r="H47" s="4">
        <v>2980.0</v>
      </c>
      <c r="I47" s="4" t="s">
        <v>46</v>
      </c>
      <c r="J47" s="7" t="s">
        <v>172</v>
      </c>
      <c r="K47" s="8">
        <f>100*13+70*13+70*11</f>
        <v>2980</v>
      </c>
      <c r="L47" s="17"/>
      <c r="M47" s="17"/>
      <c r="N47" s="17"/>
    </row>
    <row r="48">
      <c r="A48" s="4" t="s">
        <v>173</v>
      </c>
      <c r="B48" s="4" t="s">
        <v>174</v>
      </c>
      <c r="C48" s="13" t="s">
        <v>25</v>
      </c>
      <c r="D48" s="6" t="s">
        <v>170</v>
      </c>
      <c r="E48" s="6"/>
      <c r="F48" s="6"/>
      <c r="G48" s="6"/>
      <c r="H48" s="4">
        <v>910.0</v>
      </c>
      <c r="I48" s="4" t="s">
        <v>18</v>
      </c>
      <c r="J48" s="14" t="s">
        <v>175</v>
      </c>
      <c r="K48" s="15">
        <v>455.0</v>
      </c>
      <c r="L48" s="16"/>
      <c r="M48" s="9"/>
      <c r="N48" s="9"/>
    </row>
    <row r="49">
      <c r="A49" s="29" t="s">
        <v>176</v>
      </c>
      <c r="B49" s="29" t="s">
        <v>177</v>
      </c>
      <c r="C49" s="30" t="s">
        <v>16</v>
      </c>
      <c r="D49" s="6" t="s">
        <v>171</v>
      </c>
      <c r="E49" s="31"/>
      <c r="F49" s="31"/>
      <c r="G49" s="31"/>
      <c r="H49" s="29">
        <v>1200.0</v>
      </c>
      <c r="I49" s="4" t="s">
        <v>46</v>
      </c>
      <c r="J49" s="32" t="s">
        <v>178</v>
      </c>
      <c r="K49" s="8">
        <v>1200.0</v>
      </c>
      <c r="L49" s="33"/>
      <c r="M49" s="33"/>
      <c r="N49" s="33"/>
    </row>
    <row r="50">
      <c r="A50" s="29" t="s">
        <v>179</v>
      </c>
      <c r="B50" s="29" t="s">
        <v>180</v>
      </c>
      <c r="C50" s="38" t="s">
        <v>29</v>
      </c>
      <c r="D50" s="6" t="s">
        <v>164</v>
      </c>
      <c r="E50" s="31"/>
      <c r="F50" s="31"/>
      <c r="G50" s="31"/>
      <c r="H50" s="29">
        <v>1305.0</v>
      </c>
      <c r="I50" s="29" t="s">
        <v>18</v>
      </c>
      <c r="J50" s="29"/>
      <c r="K50" s="50">
        <v>326.25</v>
      </c>
      <c r="L50" s="43"/>
      <c r="M50" s="43"/>
      <c r="N50" s="43"/>
    </row>
    <row r="51">
      <c r="A51" s="29" t="s">
        <v>181</v>
      </c>
      <c r="B51" s="29" t="s">
        <v>182</v>
      </c>
      <c r="C51" s="51" t="s">
        <v>85</v>
      </c>
      <c r="D51" s="6" t="s">
        <v>171</v>
      </c>
      <c r="E51" s="6" t="s">
        <v>44</v>
      </c>
      <c r="F51" s="31"/>
      <c r="G51" s="31"/>
      <c r="H51" s="29">
        <f>100*13+120*11</f>
        <v>2620</v>
      </c>
      <c r="I51" s="4" t="s">
        <v>46</v>
      </c>
      <c r="J51" s="52" t="s">
        <v>183</v>
      </c>
      <c r="K51" s="15" t="s">
        <v>184</v>
      </c>
      <c r="L51" s="42"/>
      <c r="M51" s="43"/>
      <c r="N51" s="43"/>
    </row>
    <row r="52">
      <c r="A52" s="29" t="s">
        <v>185</v>
      </c>
      <c r="B52" s="37" t="s">
        <v>186</v>
      </c>
      <c r="C52" s="38" t="s">
        <v>29</v>
      </c>
      <c r="D52" s="31" t="s">
        <v>187</v>
      </c>
      <c r="E52" s="6" t="s">
        <v>78</v>
      </c>
      <c r="F52" s="6" t="s">
        <v>154</v>
      </c>
      <c r="G52" s="6" t="s">
        <v>163</v>
      </c>
      <c r="H52" s="29">
        <f>90*13+50*13+120*13+11*120</f>
        <v>4700</v>
      </c>
      <c r="I52" s="29" t="s">
        <v>18</v>
      </c>
      <c r="J52" s="35" t="s">
        <v>188</v>
      </c>
      <c r="K52" s="53">
        <v>1175.0</v>
      </c>
      <c r="L52" s="45"/>
      <c r="M52" s="45"/>
      <c r="N52" s="45"/>
    </row>
    <row r="53">
      <c r="A53" s="4" t="s">
        <v>189</v>
      </c>
      <c r="B53" s="4" t="s">
        <v>190</v>
      </c>
      <c r="C53" s="5" t="s">
        <v>16</v>
      </c>
      <c r="D53" s="6" t="s">
        <v>163</v>
      </c>
      <c r="E53" s="6"/>
      <c r="F53" s="6"/>
      <c r="G53" s="6"/>
      <c r="H53" s="4">
        <v>1320.0</v>
      </c>
      <c r="I53" s="4" t="s">
        <v>18</v>
      </c>
      <c r="J53" s="7" t="s">
        <v>191</v>
      </c>
      <c r="K53" s="11">
        <v>1320.0</v>
      </c>
      <c r="L53" s="12"/>
      <c r="M53" s="12"/>
      <c r="N53" s="12"/>
    </row>
    <row r="54">
      <c r="A54" s="4" t="s">
        <v>192</v>
      </c>
      <c r="B54" s="4" t="s">
        <v>193</v>
      </c>
      <c r="C54" s="5" t="s">
        <v>16</v>
      </c>
      <c r="D54" s="6" t="s">
        <v>154</v>
      </c>
      <c r="E54" s="6" t="s">
        <v>163</v>
      </c>
      <c r="F54" s="6"/>
      <c r="G54" s="6"/>
      <c r="H54" s="4">
        <v>2880.0</v>
      </c>
      <c r="I54" s="4" t="s">
        <v>18</v>
      </c>
      <c r="J54" s="7" t="s">
        <v>194</v>
      </c>
      <c r="K54" s="8">
        <v>2880.0</v>
      </c>
      <c r="L54" s="17"/>
      <c r="M54" s="17"/>
      <c r="N54" s="17"/>
    </row>
    <row r="55">
      <c r="A55" s="4" t="s">
        <v>195</v>
      </c>
      <c r="B55" s="4" t="s">
        <v>196</v>
      </c>
      <c r="C55" s="18" t="s">
        <v>29</v>
      </c>
      <c r="D55" s="6" t="s">
        <v>44</v>
      </c>
      <c r="E55" s="6"/>
      <c r="F55" s="6"/>
      <c r="G55" s="6"/>
      <c r="H55" s="4">
        <v>1320.0</v>
      </c>
      <c r="I55" s="4" t="s">
        <v>18</v>
      </c>
      <c r="J55" s="14" t="s">
        <v>197</v>
      </c>
      <c r="K55" s="19">
        <v>325.0</v>
      </c>
      <c r="L55" s="20"/>
      <c r="M55" s="20"/>
      <c r="N55" s="20"/>
    </row>
    <row r="56">
      <c r="A56" s="4" t="s">
        <v>198</v>
      </c>
      <c r="B56" s="54" t="s">
        <v>199</v>
      </c>
      <c r="C56" s="26" t="s">
        <v>85</v>
      </c>
      <c r="D56" s="6" t="s">
        <v>44</v>
      </c>
      <c r="E56" s="6"/>
      <c r="F56" s="6"/>
      <c r="G56" s="6"/>
      <c r="H56" s="4">
        <v>1320.0</v>
      </c>
      <c r="I56" s="4" t="s">
        <v>46</v>
      </c>
      <c r="J56" s="14" t="s">
        <v>200</v>
      </c>
      <c r="K56" s="11">
        <v>660.0</v>
      </c>
      <c r="L56" s="16"/>
      <c r="M56" s="17"/>
      <c r="N56" s="17"/>
    </row>
    <row r="57">
      <c r="A57" s="4" t="s">
        <v>201</v>
      </c>
      <c r="B57" s="10" t="s">
        <v>202</v>
      </c>
      <c r="C57" s="48" t="s">
        <v>161</v>
      </c>
      <c r="D57" s="6" t="s">
        <v>44</v>
      </c>
      <c r="E57" s="6" t="s">
        <v>45</v>
      </c>
      <c r="F57" s="6"/>
      <c r="G57" s="6"/>
      <c r="H57" s="4">
        <v>2090.0</v>
      </c>
      <c r="I57" s="4" t="s">
        <v>46</v>
      </c>
      <c r="J57" s="23" t="s">
        <v>203</v>
      </c>
      <c r="K57" s="15">
        <v>788.98</v>
      </c>
      <c r="L57" s="55">
        <v>256.02</v>
      </c>
      <c r="M57" s="28"/>
      <c r="N57" s="28"/>
    </row>
    <row r="58">
      <c r="A58" s="4" t="s">
        <v>204</v>
      </c>
      <c r="B58" s="10" t="s">
        <v>205</v>
      </c>
      <c r="C58" s="13" t="s">
        <v>25</v>
      </c>
      <c r="D58" s="6" t="s">
        <v>206</v>
      </c>
      <c r="E58" s="6"/>
      <c r="F58" s="6"/>
      <c r="G58" s="6"/>
      <c r="H58" s="4">
        <v>1560.0</v>
      </c>
      <c r="I58" s="4" t="s">
        <v>46</v>
      </c>
      <c r="J58" s="23" t="s">
        <v>207</v>
      </c>
      <c r="K58" s="15">
        <v>780.0</v>
      </c>
      <c r="L58" s="24"/>
      <c r="M58" s="9"/>
      <c r="N58" s="9"/>
    </row>
    <row r="59">
      <c r="A59" s="29" t="s">
        <v>208</v>
      </c>
      <c r="B59" s="37" t="s">
        <v>209</v>
      </c>
      <c r="C59" s="30" t="s">
        <v>16</v>
      </c>
      <c r="D59" s="6" t="s">
        <v>44</v>
      </c>
      <c r="E59" s="31"/>
      <c r="F59" s="31"/>
      <c r="G59" s="31"/>
      <c r="H59" s="29">
        <v>1320.0</v>
      </c>
      <c r="I59" s="29" t="s">
        <v>18</v>
      </c>
      <c r="J59" s="32" t="s">
        <v>210</v>
      </c>
      <c r="K59" s="8">
        <v>1320.0</v>
      </c>
      <c r="L59" s="33"/>
      <c r="M59" s="33"/>
      <c r="N59" s="33"/>
    </row>
    <row r="60">
      <c r="A60" s="29" t="s">
        <v>211</v>
      </c>
      <c r="B60" s="29" t="s">
        <v>212</v>
      </c>
      <c r="C60" s="30" t="s">
        <v>16</v>
      </c>
      <c r="D60" s="6" t="s">
        <v>44</v>
      </c>
      <c r="E60" s="31"/>
      <c r="F60" s="31"/>
      <c r="G60" s="31"/>
      <c r="H60" s="29">
        <v>1320.0</v>
      </c>
      <c r="I60" s="4" t="s">
        <v>46</v>
      </c>
      <c r="J60" s="32" t="s">
        <v>213</v>
      </c>
      <c r="K60" s="8">
        <v>1320.0</v>
      </c>
      <c r="L60" s="33"/>
      <c r="M60" s="33"/>
      <c r="N60" s="33"/>
    </row>
    <row r="61">
      <c r="A61" s="29" t="s">
        <v>214</v>
      </c>
      <c r="B61" s="37" t="s">
        <v>215</v>
      </c>
      <c r="C61" s="30" t="s">
        <v>16</v>
      </c>
      <c r="D61" s="6" t="s">
        <v>44</v>
      </c>
      <c r="E61" s="31"/>
      <c r="F61" s="31"/>
      <c r="G61" s="31"/>
      <c r="H61" s="29">
        <v>1320.0</v>
      </c>
      <c r="I61" s="4" t="s">
        <v>46</v>
      </c>
      <c r="J61" s="32" t="s">
        <v>216</v>
      </c>
      <c r="K61" s="11">
        <v>1320.0</v>
      </c>
      <c r="L61" s="33"/>
      <c r="M61" s="33"/>
      <c r="N61" s="33"/>
    </row>
    <row r="62">
      <c r="A62" s="29" t="s">
        <v>217</v>
      </c>
      <c r="B62" s="29" t="s">
        <v>218</v>
      </c>
      <c r="C62" s="51" t="s">
        <v>219</v>
      </c>
      <c r="D62" s="6" t="s">
        <v>44</v>
      </c>
      <c r="E62" s="31"/>
      <c r="F62" s="31"/>
      <c r="G62" s="31"/>
      <c r="H62" s="29">
        <v>660.0</v>
      </c>
      <c r="I62" s="4" t="s">
        <v>46</v>
      </c>
      <c r="J62" s="56" t="s">
        <v>220</v>
      </c>
      <c r="K62" s="50">
        <v>330.0</v>
      </c>
      <c r="L62" s="50">
        <v>330.0</v>
      </c>
      <c r="M62" s="36"/>
      <c r="N62" s="36"/>
    </row>
    <row r="63">
      <c r="A63" s="29" t="s">
        <v>221</v>
      </c>
      <c r="B63" s="29" t="s">
        <v>212</v>
      </c>
      <c r="C63" s="30" t="s">
        <v>16</v>
      </c>
      <c r="D63" s="6" t="s">
        <v>222</v>
      </c>
      <c r="E63" s="31"/>
      <c r="F63" s="31"/>
      <c r="G63" s="31"/>
      <c r="H63" s="29">
        <v>650.0</v>
      </c>
      <c r="I63" s="4" t="s">
        <v>46</v>
      </c>
      <c r="J63" s="32" t="s">
        <v>223</v>
      </c>
      <c r="K63" s="11">
        <v>650.0</v>
      </c>
      <c r="L63" s="33"/>
      <c r="M63" s="41"/>
      <c r="N63" s="41"/>
    </row>
    <row r="64">
      <c r="A64" s="29" t="s">
        <v>224</v>
      </c>
      <c r="B64" s="29" t="s">
        <v>225</v>
      </c>
      <c r="C64" s="30" t="s">
        <v>16</v>
      </c>
      <c r="D64" s="6" t="s">
        <v>222</v>
      </c>
      <c r="E64" s="31"/>
      <c r="F64" s="31"/>
      <c r="G64" s="31"/>
      <c r="H64" s="29">
        <v>650.0</v>
      </c>
      <c r="I64" s="4" t="s">
        <v>46</v>
      </c>
      <c r="J64" s="32" t="s">
        <v>226</v>
      </c>
      <c r="K64" s="8">
        <v>650.0</v>
      </c>
      <c r="L64" s="41"/>
      <c r="M64" s="41"/>
      <c r="N64" s="41"/>
    </row>
    <row r="65">
      <c r="A65" s="29" t="s">
        <v>227</v>
      </c>
      <c r="B65" s="29" t="s">
        <v>228</v>
      </c>
      <c r="C65" s="13" t="s">
        <v>25</v>
      </c>
      <c r="D65" s="6" t="s">
        <v>222</v>
      </c>
      <c r="E65" s="31"/>
      <c r="F65" s="31"/>
      <c r="G65" s="31"/>
      <c r="H65" s="29">
        <v>650.0</v>
      </c>
      <c r="I65" s="4" t="s">
        <v>46</v>
      </c>
      <c r="J65" s="39" t="s">
        <v>229</v>
      </c>
      <c r="K65" s="15">
        <v>325.0</v>
      </c>
      <c r="L65" s="43"/>
      <c r="M65" s="33"/>
      <c r="N65" s="33"/>
    </row>
    <row r="66">
      <c r="A66" s="29" t="s">
        <v>230</v>
      </c>
      <c r="B66" s="29" t="s">
        <v>215</v>
      </c>
      <c r="C66" s="51" t="s">
        <v>219</v>
      </c>
      <c r="D66" s="6" t="s">
        <v>222</v>
      </c>
      <c r="E66" s="31"/>
      <c r="F66" s="31"/>
      <c r="G66" s="31"/>
      <c r="H66" s="29">
        <v>2600.0</v>
      </c>
      <c r="I66" s="4" t="s">
        <v>46</v>
      </c>
      <c r="J66" s="35" t="s">
        <v>231</v>
      </c>
      <c r="K66" s="15">
        <v>650.0</v>
      </c>
      <c r="L66" s="42"/>
      <c r="M66" s="43"/>
      <c r="N66" s="43"/>
    </row>
    <row r="67">
      <c r="A67" s="57"/>
      <c r="B67" s="57"/>
      <c r="C67" s="58"/>
      <c r="D67" s="58"/>
      <c r="E67" s="58"/>
      <c r="F67" s="58"/>
      <c r="G67" s="58"/>
      <c r="H67" s="57"/>
      <c r="I67" s="59"/>
      <c r="J67" s="59"/>
      <c r="K67" s="60"/>
      <c r="L67" s="60"/>
    </row>
    <row r="68">
      <c r="A68" s="57"/>
      <c r="B68" s="57"/>
      <c r="C68" s="61"/>
      <c r="D68" s="61"/>
      <c r="E68" s="61"/>
      <c r="F68" s="61"/>
      <c r="G68" s="61"/>
      <c r="H68" s="57"/>
      <c r="K68" s="59"/>
      <c r="L68" s="57"/>
      <c r="M68" s="57"/>
      <c r="N68" s="57"/>
    </row>
    <row r="69">
      <c r="A69" s="57"/>
      <c r="B69" s="57"/>
      <c r="C69" s="58"/>
      <c r="D69" s="58"/>
      <c r="E69" s="58"/>
      <c r="F69" s="58"/>
      <c r="G69" s="58"/>
      <c r="H69" s="57"/>
      <c r="I69" s="62"/>
      <c r="J69" s="62"/>
      <c r="K69" s="60"/>
      <c r="L69" s="57"/>
      <c r="M69" s="57"/>
      <c r="N69" s="57"/>
    </row>
    <row r="70">
      <c r="A70" s="57"/>
      <c r="B70" s="57"/>
      <c r="C70" s="58"/>
      <c r="D70" s="58"/>
      <c r="E70" s="58"/>
      <c r="F70" s="58"/>
      <c r="G70" s="58"/>
      <c r="H70" s="57"/>
      <c r="I70" s="59"/>
      <c r="J70" s="59"/>
      <c r="K70" s="57"/>
      <c r="L70" s="57"/>
      <c r="M70" s="57"/>
      <c r="N70" s="57"/>
    </row>
    <row r="71">
      <c r="A71" s="57"/>
      <c r="B71" s="57"/>
      <c r="C71" s="58"/>
      <c r="D71" s="58"/>
      <c r="E71" s="58"/>
      <c r="F71" s="58"/>
      <c r="G71" s="58"/>
      <c r="H71" s="57"/>
      <c r="I71" s="59"/>
      <c r="J71" s="59"/>
      <c r="K71" s="57"/>
      <c r="L71" s="57"/>
      <c r="M71" s="57"/>
      <c r="N71" s="57"/>
    </row>
    <row r="72">
      <c r="A72" s="57"/>
      <c r="B72" s="57"/>
      <c r="C72" s="58"/>
      <c r="D72" s="58"/>
      <c r="E72" s="58"/>
      <c r="F72" s="58"/>
      <c r="G72" s="58"/>
      <c r="H72" s="57"/>
      <c r="I72" s="57"/>
      <c r="J72" s="57"/>
      <c r="K72" s="57"/>
      <c r="L72" s="57"/>
      <c r="M72" s="57"/>
      <c r="N72" s="57"/>
    </row>
    <row r="73">
      <c r="A73" s="57"/>
      <c r="B73" s="57"/>
      <c r="C73" s="58"/>
      <c r="D73" s="58"/>
      <c r="E73" s="58"/>
      <c r="F73" s="58"/>
      <c r="G73" s="58"/>
      <c r="H73" s="57"/>
      <c r="I73" s="57"/>
      <c r="J73" s="57"/>
      <c r="K73" s="57"/>
      <c r="L73" s="57"/>
      <c r="M73" s="57"/>
      <c r="N73" s="57"/>
    </row>
    <row r="74">
      <c r="A74" s="57"/>
      <c r="B74" s="57"/>
      <c r="C74" s="58"/>
      <c r="D74" s="58"/>
      <c r="E74" s="58"/>
      <c r="F74" s="58"/>
      <c r="G74" s="58"/>
      <c r="H74" s="57"/>
      <c r="I74" s="57"/>
      <c r="J74" s="57"/>
      <c r="K74" s="57"/>
      <c r="L74" s="57"/>
      <c r="M74" s="57"/>
      <c r="N74" s="57"/>
    </row>
    <row r="75">
      <c r="A75" s="57"/>
      <c r="B75" s="57"/>
      <c r="C75" s="58"/>
      <c r="D75" s="58"/>
      <c r="E75" s="58"/>
      <c r="F75" s="58"/>
      <c r="G75" s="58"/>
      <c r="H75" s="57"/>
      <c r="I75" s="57"/>
      <c r="J75" s="57"/>
      <c r="K75" s="57"/>
      <c r="L75" s="57"/>
      <c r="M75" s="57"/>
      <c r="N75" s="57"/>
    </row>
    <row r="76">
      <c r="A76" s="57"/>
      <c r="B76" s="57"/>
      <c r="C76" s="58"/>
      <c r="D76" s="58"/>
      <c r="E76" s="58"/>
      <c r="F76" s="58"/>
      <c r="G76" s="58"/>
      <c r="H76" s="57"/>
      <c r="I76" s="57"/>
      <c r="J76" s="57"/>
      <c r="K76" s="57"/>
      <c r="L76" s="57"/>
      <c r="M76" s="57"/>
      <c r="N76" s="57"/>
    </row>
    <row r="77">
      <c r="A77" s="57"/>
      <c r="B77" s="57"/>
      <c r="C77" s="58"/>
      <c r="D77" s="58"/>
      <c r="E77" s="58"/>
      <c r="F77" s="58"/>
      <c r="G77" s="58"/>
      <c r="H77" s="57"/>
      <c r="I77" s="57"/>
      <c r="J77" s="57"/>
      <c r="K77" s="57"/>
      <c r="L77" s="57"/>
      <c r="M77" s="57"/>
      <c r="N77" s="57"/>
    </row>
  </sheetData>
  <autoFilter ref="$A$1:$N$66">
    <sortState ref="A1:N66">
      <sortCondition ref="D1:D66"/>
      <sortCondition ref="C1:C66"/>
      <sortCondition descending="1" sortBy="cellColor" ref="A1:A66" dxfId="1"/>
    </sortState>
  </autoFilter>
  <drawing r:id="rId1"/>
</worksheet>
</file>